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unee\Downloads\Downloads\PGDBM Course Study\DBS, Dehradun\MBA\Business Statistics\Module 3\"/>
    </mc:Choice>
  </mc:AlternateContent>
  <xr:revisionPtr revIDLastSave="0" documentId="13_ncr:1_{DFEAA760-A8AB-4ACC-AD20-1376167ABF38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Expected Value" sheetId="1" r:id="rId1"/>
    <sheet name="Binomial " sheetId="2" r:id="rId2"/>
    <sheet name="Normal" sheetId="6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P9" i="2"/>
  <c r="N14" i="2"/>
  <c r="O8" i="2"/>
  <c r="O9" i="2"/>
  <c r="O10" i="2"/>
  <c r="O11" i="2"/>
  <c r="O12" i="2"/>
  <c r="O13" i="2"/>
  <c r="O7" i="2"/>
  <c r="N8" i="2"/>
  <c r="N9" i="2"/>
  <c r="N10" i="2"/>
  <c r="N11" i="2"/>
  <c r="N12" i="2"/>
  <c r="N13" i="2"/>
  <c r="N7" i="2"/>
  <c r="C10" i="2"/>
  <c r="D12" i="1"/>
  <c r="E10" i="1"/>
  <c r="C12" i="1" s="1"/>
  <c r="F10" i="1"/>
  <c r="G10" i="1"/>
  <c r="H10" i="1"/>
  <c r="I10" i="1"/>
  <c r="D10" i="1"/>
  <c r="B4" i="6" l="1"/>
  <c r="B3" i="6"/>
</calcChain>
</file>

<file path=xl/sharedStrings.xml><?xml version="1.0" encoding="utf-8"?>
<sst xmlns="http://schemas.openxmlformats.org/spreadsheetml/2006/main" count="37" uniqueCount="36">
  <si>
    <t>Roll</t>
  </si>
  <si>
    <t>Outcome</t>
  </si>
  <si>
    <t>Probability</t>
  </si>
  <si>
    <t>E(x)</t>
  </si>
  <si>
    <t>X</t>
  </si>
  <si>
    <t>P(X=x)</t>
  </si>
  <si>
    <t>A</t>
  </si>
  <si>
    <t>B</t>
  </si>
  <si>
    <t>C</t>
  </si>
  <si>
    <t>Number Successes (x)</t>
  </si>
  <si>
    <t>Number Trials (n)</t>
  </si>
  <si>
    <t>Prob. Success (p)</t>
  </si>
  <si>
    <t>Exactly x</t>
  </si>
  <si>
    <t>Less Than x</t>
  </si>
  <si>
    <t>At Most x</t>
  </si>
  <si>
    <t>At Least x</t>
  </si>
  <si>
    <t>More Than x</t>
  </si>
  <si>
    <t>Normal Probabilities</t>
  </si>
  <si>
    <t>Mean</t>
  </si>
  <si>
    <t>Standard Deviation</t>
  </si>
  <si>
    <t>x</t>
  </si>
  <si>
    <t>F(x)</t>
  </si>
  <si>
    <t>Outcomes</t>
  </si>
  <si>
    <t>Prob</t>
  </si>
  <si>
    <t>Cummulative</t>
  </si>
  <si>
    <t>PMF</t>
  </si>
  <si>
    <t>CDF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</si>
  <si>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</si>
  <si>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P(X=3)</t>
  </si>
  <si>
    <t>P(X=0)</t>
  </si>
  <si>
    <t>P(X=1)</t>
  </si>
  <si>
    <t>P(X=2)</t>
  </si>
  <si>
    <t>P(X=4)</t>
  </si>
  <si>
    <t>P(X=5)</t>
  </si>
  <si>
    <t>P(X=6)</t>
  </si>
  <si>
    <t>{=1-BINOM.DIST(2,6,1/6,1)}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</si>
</sst>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8" formatCode="0.00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2" fontId="0" fillId="2" borderId="0" xfId="0" applyNumberFormat="1" applyFill="1"/>
    <xf numFmtId="1" fontId="2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4" fillId="0" borderId="0" xfId="0" applyFont="1"/>
    <xf numFmtId="0" fontId="0" fillId="3" borderId="1" xfId="0" applyFill="1" applyBorder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5" fillId="5" borderId="0" xfId="0" applyFont="1" applyFill="1"/>
    <xf numFmtId="168" fontId="0" fillId="0" borderId="1" xfId="0" applyNumberFormat="1" applyBorder="1" applyAlignment="1">
      <alignment horizontal="center"/>
    </xf>
    <xf numFmtId="168" fontId="3" fillId="5" borderId="1" xfId="0" applyNumberFormat="1" applyFont="1" applyFill="1" applyBorder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7FF68F-957A-4A93-A6EC-D3F705397C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'!$N$6</c:f>
              <c:strCache>
                <c:ptCount val="1"/>
                <c:pt idx="0">
                  <c:v>Prob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'Binomial '!$M$7:$M$13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'Binomial '!$N$7:$N$13</c:f>
              <c:numCache>
                <c:formatCode>0.000000</c:formatCode>
                <c:ptCount val="7"/>
                <c:pt idx="0">
                  <c:v>0.33489797668038412</c:v>
                </c:pt>
                <c:pt idx="1">
                  <c:v>0.40187757201646096</c:v>
                </c:pt>
                <c:pt idx="2">
                  <c:v>0.20093878600823045</c:v>
                </c:pt>
                <c:pt idx="3">
                  <c:v>5.3583676268861451E-2</c:v>
                </c:pt>
                <c:pt idx="4">
                  <c:v>8.0375514403292162E-3</c:v>
                </c:pt>
                <c:pt idx="5">
                  <c:v>6.430041152263381E-4</c:v>
                </c:pt>
                <c:pt idx="6">
                  <c:v>2.1433470507544566E-5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F-42B8-96A2-CE27B6E03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570463"/>
        <c:axId val="1030476463"/>
      </c:barChart>
      <c:catAx>
        <c:axId val="9125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76463"/>
        <c:crosses val="autoZero"/>
        <c:auto val="1"/>
        <c:lblAlgn val="ctr"/>
        <c:lblOffset val="100"/>
        <c:noMultiLvlLbl val="0"/>
      </c:catAx>
      <c:valAx>
        <c:axId val="10304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7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Distribution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[1]Normal!$A$7:$A$17</c:f>
              <c:numCache>
                <c:formatCode>General</c:formatCode>
                <c:ptCount val="11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850</c:v>
                </c:pt>
                <c:pt idx="8">
                  <c:v>900</c:v>
                </c:pt>
                <c:pt idx="9">
                  <c:v>950</c:v>
                </c:pt>
                <c:pt idx="10">
                  <c:v>1000</c:v>
                </c:pt>
              </c:numCache>
            </c:numRef>
          </c:cat>
          <c:val>
            <c:numRef>
              <c:f>[1]Normal!$B$7:$B$17</c:f>
              <c:numCache>
                <c:formatCode>General</c:formatCode>
                <c:ptCount val="11"/>
                <c:pt idx="0">
                  <c:v>6.2096653257761331E-3</c:v>
                </c:pt>
                <c:pt idx="1">
                  <c:v>2.2750131948179191E-2</c:v>
                </c:pt>
                <c:pt idx="2">
                  <c:v>6.6807201268858057E-2</c:v>
                </c:pt>
                <c:pt idx="3">
                  <c:v>0.15865525393145699</c:v>
                </c:pt>
                <c:pt idx="4">
                  <c:v>0.30853753872598688</c:v>
                </c:pt>
                <c:pt idx="5">
                  <c:v>0.5</c:v>
                </c:pt>
                <c:pt idx="6">
                  <c:v>0.69146246127401312</c:v>
                </c:pt>
                <c:pt idx="7">
                  <c:v>0.84134474606854304</c:v>
                </c:pt>
                <c:pt idx="8">
                  <c:v>0.93319279873114191</c:v>
                </c:pt>
                <c:pt idx="9">
                  <c:v>0.97724986805182079</c:v>
                </c:pt>
                <c:pt idx="10">
                  <c:v>0.99379033467422384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E-4126-AC62-E0FFD91F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1547160"/>
        <c:axId val="-2118856872"/>
      </c:lineChart>
      <c:catAx>
        <c:axId val="-2121547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8856872"/>
        <c:crosses val="autoZero"/>
        <c:auto val="1"/>
        <c:lblAlgn val="ctr"/>
        <c:lblOffset val="100"/>
        <c:noMultiLvlLbl val="0"/>
      </c:catAx>
      <c:valAx>
        <c:axId val="-21188568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1547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</xdr:row>
      <xdr:rowOff>95250</xdr:rowOff>
    </xdr:from>
    <xdr:to>
      <xdr:col>10</xdr:col>
      <xdr:colOff>561975</xdr:colOff>
      <xdr:row>4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025" y="285750"/>
          <a:ext cx="6076950" cy="6191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Suppose you</a:t>
          </a:r>
          <a:r>
            <a:rPr lang="en-IN" sz="1100" baseline="0"/>
            <a:t> play a game that cost $5 to play. If you roll a 1, you win $100. If you roll a 6, you get to keep the $5 you bet. All other outcomes result in a loss. Is this a worthwhile game to play ?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</xdr:row>
      <xdr:rowOff>57150</xdr:rowOff>
    </xdr:from>
    <xdr:to>
      <xdr:col>9</xdr:col>
      <xdr:colOff>314325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66725" y="247650"/>
          <a:ext cx="5334000" cy="11239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A. What is the probability of rolling </a:t>
          </a:r>
          <a:r>
            <a:rPr lang="en-IN" sz="1100" b="1"/>
            <a:t>EXACTLY</a:t>
          </a:r>
          <a:r>
            <a:rPr lang="en-IN" sz="1100"/>
            <a:t> 3 1's in 6 rolls of a dice?</a:t>
          </a:r>
        </a:p>
        <a:p>
          <a:endParaRPr lang="en-IN" sz="1100"/>
        </a:p>
        <a:p>
          <a:r>
            <a:rPr lang="en-IN" sz="1100"/>
            <a:t>B. What</a:t>
          </a:r>
          <a:r>
            <a:rPr lang="en-IN" sz="1100" baseline="0"/>
            <a:t> is the probability of rolling </a:t>
          </a:r>
          <a:r>
            <a:rPr lang="en-IN" sz="1100" b="1" baseline="0"/>
            <a:t>at most </a:t>
          </a:r>
          <a:r>
            <a:rPr lang="en-IN" sz="1100" baseline="0"/>
            <a:t>2 1's in 6 rolls of a dice?</a:t>
          </a:r>
        </a:p>
        <a:p>
          <a:endParaRPr lang="en-IN" sz="1100" baseline="0"/>
        </a:p>
        <a:p>
          <a:r>
            <a:rPr lang="en-IN" sz="1100" baseline="0"/>
            <a:t>C.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probability of rolling 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least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1's in 6 rolls of a dice ?</a:t>
          </a:r>
          <a:endParaRPr lang="en-IN" sz="1100"/>
        </a:p>
      </xdr:txBody>
    </xdr:sp>
    <xdr:clientData/>
  </xdr:twoCellAnchor>
  <xdr:twoCellAnchor>
    <xdr:from>
      <xdr:col>10</xdr:col>
      <xdr:colOff>495299</xdr:colOff>
      <xdr:row>16</xdr:row>
      <xdr:rowOff>107950</xdr:rowOff>
    </xdr:from>
    <xdr:to>
      <xdr:col>15</xdr:col>
      <xdr:colOff>454024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35994-EA4C-4A41-B482-35D8C3301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149225</xdr:colOff>
      <xdr:row>7</xdr:row>
      <xdr:rowOff>88900</xdr:rowOff>
    </xdr:from>
    <xdr:to>
      <xdr:col>13</xdr:col>
      <xdr:colOff>222250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368300</xdr:colOff>
      <xdr:row>0</xdr:row>
      <xdr:rowOff>101600</xdr:rowOff>
    </xdr:from>
    <xdr:to>
      <xdr:col>11</xdr:col>
      <xdr:colOff>247650</xdr:colOff>
      <xdr:row>6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959475" y="101600"/>
          <a:ext cx="1708150" cy="1003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</a:t>
          </a:r>
          <a:r>
            <a:rPr lang="en-US" sz="1100" baseline="0"/>
            <a:t> be sure the change the range of the data in the chart to display a different normal distribution properly.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GDBM%20Course%20Study/Business%20Analytics%20&amp;%20Research/Business%20Analytics%20-%20Evans/Data_Files/Data_Files/Normal%20Probabilities.xlsx" TargetMode="External"/><Relationship Id="rId1" Type="http://schemas.openxmlformats.org/officeDocument/2006/relationships/externalLinkPath" Target="/Users/punee/Downloads/PGDBM%20Course%20Study/Business%20Analytics%20&amp;%20Research/Business%20Analytics%20-%20Evans/Data_Files/Data_Files/Normal%20Probab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rmal"/>
    </sheetNames>
    <sheetDataSet>
      <sheetData sheetId="0">
        <row r="7">
          <cell r="A7">
            <v>500</v>
          </cell>
          <cell r="B7">
            <v>6.2096653257761331E-3</v>
          </cell>
        </row>
        <row r="8">
          <cell r="A8">
            <v>550</v>
          </cell>
          <cell r="B8">
            <v>2.2750131948179191E-2</v>
          </cell>
        </row>
        <row r="9">
          <cell r="A9">
            <v>600</v>
          </cell>
          <cell r="B9">
            <v>6.6807201268858057E-2</v>
          </cell>
        </row>
        <row r="10">
          <cell r="A10">
            <v>650</v>
          </cell>
          <cell r="B10">
            <v>0.15865525393145699</v>
          </cell>
        </row>
        <row r="11">
          <cell r="A11">
            <v>700</v>
          </cell>
          <cell r="B11">
            <v>0.30853753872598688</v>
          </cell>
        </row>
        <row r="12">
          <cell r="A12">
            <v>750</v>
          </cell>
          <cell r="B12">
            <v>0.5</v>
          </cell>
        </row>
        <row r="13">
          <cell r="A13">
            <v>800</v>
          </cell>
          <cell r="B13">
            <v>0.69146246127401312</v>
          </cell>
        </row>
        <row r="14">
          <cell r="A14">
            <v>850</v>
          </cell>
          <cell r="B14">
            <v>0.84134474606854304</v>
          </cell>
        </row>
        <row r="15">
          <cell r="A15">
            <v>900</v>
          </cell>
          <cell r="B15">
            <v>0.93319279873114191</v>
          </cell>
        </row>
        <row r="16">
          <cell r="A16">
            <v>950</v>
          </cell>
          <cell r="B16">
            <v>0.97724986805182079</v>
          </cell>
        </row>
        <row r="17">
          <cell r="A17">
            <v>1000</v>
          </cell>
          <cell r="B17">
            <v>0.99379033467422384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I12"/>
  <sheetViews>
    <sheetView zoomScale="150" zoomScaleNormal="150" workbookViewId="0">
      <selection activeCell="D13" sqref="D13"/>
    </sheetView>
  </sheetViews>
  <sheetFormatPr defaultRowHeight="14.25" x14ac:dyDescent="0.45"/>
  <cols>
    <col min="2" max="2" width="9.73046875" bestFit="1" customWidth="1"/>
    <col min="3" max="3" width="9.19921875" style="1"/>
  </cols>
  <sheetData>
    <row r="8" spans="2:9" x14ac:dyDescent="0.45">
      <c r="B8" s="14" t="s">
        <v>0</v>
      </c>
      <c r="C8" s="13"/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</row>
    <row r="9" spans="2:9" x14ac:dyDescent="0.45">
      <c r="B9" s="11" t="s">
        <v>1</v>
      </c>
      <c r="C9" s="12" t="s">
        <v>4</v>
      </c>
      <c r="D9" s="16">
        <v>95</v>
      </c>
      <c r="E9" s="16">
        <v>-5</v>
      </c>
      <c r="F9" s="16">
        <v>-5</v>
      </c>
      <c r="G9" s="16">
        <v>-5</v>
      </c>
      <c r="H9" s="16">
        <v>-5</v>
      </c>
      <c r="I9" s="16">
        <v>0</v>
      </c>
    </row>
    <row r="10" spans="2:9" x14ac:dyDescent="0.45">
      <c r="B10" s="11" t="s">
        <v>2</v>
      </c>
      <c r="C10" s="12" t="s">
        <v>5</v>
      </c>
      <c r="D10" s="17">
        <f>1/6</f>
        <v>0.16666666666666666</v>
      </c>
      <c r="E10" s="17">
        <f t="shared" ref="E10:I10" si="0">1/6</f>
        <v>0.16666666666666666</v>
      </c>
      <c r="F10" s="17">
        <f t="shared" si="0"/>
        <v>0.16666666666666666</v>
      </c>
      <c r="G10" s="17">
        <f t="shared" si="0"/>
        <v>0.16666666666666666</v>
      </c>
      <c r="H10" s="17">
        <f t="shared" si="0"/>
        <v>0.16666666666666666</v>
      </c>
      <c r="I10" s="17">
        <f t="shared" si="0"/>
        <v>0.16666666666666666</v>
      </c>
    </row>
    <row r="12" spans="2:9" x14ac:dyDescent="0.45">
      <c r="B12" t="s">
        <v>3</v>
      </c>
      <c r="C12" s="1">
        <f>SUMPRODUCT(D9:I9,D10:I10)</f>
        <v>12.499999999999996</v>
      </c>
      <c r="D12">
        <f>SUMPRODUCT(D9:I9,D10:I10)</f>
        <v>12.499999999999996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P22"/>
  <sheetViews>
    <sheetView tabSelected="1" topLeftCell="A7" zoomScale="120" zoomScaleNormal="120" workbookViewId="0">
      <selection activeCell="F22" sqref="F22"/>
    </sheetView>
  </sheetViews>
  <sheetFormatPr defaultRowHeight="14.25" x14ac:dyDescent="0.45"/>
  <cols>
    <col min="1" max="1" width="9.19921875" style="1"/>
    <col min="7" max="7" width="19.73046875" customWidth="1"/>
    <col min="14" max="14" width="13.6640625" customWidth="1"/>
    <col min="15" max="15" width="11.796875" bestFit="1" customWidth="1"/>
  </cols>
  <sheetData>
    <row r="5" spans="1:16" x14ac:dyDescent="0.45">
      <c r="L5" s="11"/>
      <c r="M5" s="11"/>
      <c r="N5" s="11" t="s">
        <v>25</v>
      </c>
      <c r="O5" s="11" t="s">
        <v>26</v>
      </c>
    </row>
    <row r="6" spans="1:16" x14ac:dyDescent="0.45">
      <c r="L6" s="11"/>
      <c r="M6" s="19" t="s">
        <v>22</v>
      </c>
      <c r="N6" s="15" t="s">
        <v>23</v>
      </c>
      <c r="O6" s="15" t="s">
        <v>24</v>
      </c>
    </row>
    <row r="7" spans="1:16" ht="18" x14ac:dyDescent="0.55000000000000004">
      <c r="L7" s="20" t="s">
        <v>29</v>
      </c>
      <c r="M7" s="19">
        <v>0</v>
      </c>
      <c r="N7" s="24">
        <f>_xlfn.BINOM.DIST(M7,6,1/6,0)</f>
        <v>0.33489797668038412</v>
      </c>
      <c r="O7" s="24">
        <f>_xlfn.BINOM.DIST(M7,6,1/6,1)</f>
        <v>0.33489797668038412</v>
      </c>
    </row>
    <row r="8" spans="1:16" ht="18" x14ac:dyDescent="0.55000000000000004">
      <c r="L8" s="20" t="s">
        <v>30</v>
      </c>
      <c r="M8" s="19">
        <v>1</v>
      </c>
      <c r="N8" s="24">
        <f t="shared" ref="N8:N13" si="0">_xlfn.BINOM.DIST(M8,6,1/6,0)</f>
        <v>0.40187757201646096</v>
      </c>
      <c r="O8" s="24">
        <f t="shared" ref="O8:O13" si="1">_xlfn.BINOM.DIST(M8,6,1/6,1)</f>
        <v>0.73677554869684503</v>
      </c>
    </row>
    <row r="9" spans="1:16" ht="18" x14ac:dyDescent="0.55000000000000004">
      <c r="L9" s="20" t="s">
        <v>31</v>
      </c>
      <c r="M9" s="19">
        <v>2</v>
      </c>
      <c r="N9" s="24">
        <f t="shared" si="0"/>
        <v>0.20093878600823045</v>
      </c>
      <c r="O9" s="24">
        <f t="shared" si="1"/>
        <v>0.93771433470507537</v>
      </c>
      <c r="P9" s="26">
        <f>1-O9</f>
        <v>6.228566529492463E-2</v>
      </c>
    </row>
    <row r="10" spans="1:16" ht="18" x14ac:dyDescent="0.55000000000000004">
      <c r="A10" s="1" t="s">
        <v>6</v>
      </c>
      <c r="B10" s="23" t="s">
        <v>28</v>
      </c>
      <c r="C10" s="23">
        <f>_xlfn.BINOM.DIST(3,6,1/6,0)</f>
        <v>5.3583676268861451E-2</v>
      </c>
      <c r="G10" t="s">
        <v>9</v>
      </c>
      <c r="H10" s="2"/>
      <c r="L10" s="21" t="s">
        <v>28</v>
      </c>
      <c r="M10" s="22">
        <v>3</v>
      </c>
      <c r="N10" s="25">
        <f t="shared" si="0"/>
        <v>5.3583676268861451E-2</v>
      </c>
      <c r="O10" s="24">
        <f t="shared" si="1"/>
        <v>0.99129801097393688</v>
      </c>
    </row>
    <row r="11" spans="1:16" ht="18" x14ac:dyDescent="0.55000000000000004">
      <c r="G11" t="s">
        <v>10</v>
      </c>
      <c r="H11" s="2"/>
      <c r="L11" s="20" t="s">
        <v>32</v>
      </c>
      <c r="M11" s="19">
        <v>4</v>
      </c>
      <c r="N11" s="24">
        <f t="shared" si="0"/>
        <v>8.0375514403292162E-3</v>
      </c>
      <c r="O11" s="24">
        <f t="shared" si="1"/>
        <v>0.99933556241426613</v>
      </c>
    </row>
    <row r="12" spans="1:16" ht="18" x14ac:dyDescent="0.55000000000000004">
      <c r="A12" s="1" t="s">
        <v>7</v>
      </c>
      <c r="B12">
        <v>0</v>
      </c>
      <c r="G12" t="s">
        <v>11</v>
      </c>
      <c r="H12" s="9"/>
      <c r="L12" s="20" t="s">
        <v>33</v>
      </c>
      <c r="M12" s="19">
        <v>5</v>
      </c>
      <c r="N12" s="24">
        <f t="shared" si="0"/>
        <v>6.430041152263381E-4</v>
      </c>
      <c r="O12" s="24">
        <f t="shared" si="1"/>
        <v>0.99997856652949246</v>
      </c>
    </row>
    <row r="13" spans="1:16" ht="18" x14ac:dyDescent="0.55000000000000004">
      <c r="B13">
        <v>1</v>
      </c>
      <c r="L13" s="20" t="s">
        <v>34</v>
      </c>
      <c r="M13" s="19">
        <v>6</v>
      </c>
      <c r="N13" s="24">
        <f t="shared" si="0"/>
        <v>2.1433470507544566E-5</v>
      </c>
      <c r="O13" s="24">
        <f t="shared" si="1"/>
        <v>1</v>
      </c>
    </row>
    <row r="14" spans="1:16" x14ac:dyDescent="0.45">
      <c r="B14">
        <v>2</v>
      </c>
      <c r="G14" t="s">
        <v>12</v>
      </c>
      <c r="N14" s="26">
        <f>SUM(N10:N13)</f>
        <v>6.2285665294924547E-2</v>
      </c>
    </row>
    <row r="15" spans="1:16" x14ac:dyDescent="0.45">
      <c r="C15" s="8"/>
      <c r="G15" t="s">
        <v>13</v>
      </c>
    </row>
    <row r="16" spans="1:16" x14ac:dyDescent="0.45">
      <c r="C16" s="8"/>
      <c r="G16" t="s">
        <v>14</v>
      </c>
    </row>
    <row r="17" spans="1:7" x14ac:dyDescent="0.45">
      <c r="G17" t="s">
        <v>15</v>
      </c>
    </row>
    <row r="18" spans="1:7" ht="15.75" x14ac:dyDescent="0.5">
      <c r="A18" s="1" t="s">
        <v>8</v>
      </c>
      <c r="B18">
        <v>3</v>
      </c>
      <c r="C18" s="18" t="s">
        <v>35</v>
      </c>
      <c r="G18" t="s">
        <v>16</v>
      </c>
    </row>
    <row r="19" spans="1:7" x14ac:dyDescent="0.45">
      <c r="B19">
        <v>4</v>
      </c>
    </row>
    <row r="20" spans="1:7" x14ac:dyDescent="0.45">
      <c r="B20">
        <v>5</v>
      </c>
      <c r="D20" s="8">
        <f>1-_xlfn.BINOM.DIST(2,6,1/6,1)</f>
        <v>6.228566529492463E-2</v>
      </c>
    </row>
    <row r="21" spans="1:7" x14ac:dyDescent="0.45">
      <c r="B21">
        <v>6</v>
      </c>
    </row>
    <row r="22" spans="1:7" x14ac:dyDescent="0.45">
      <c r="C22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E14" sqref="E14"/>
    </sheetView>
  </sheetViews>
  <sheetFormatPr defaultColWidth="9.19921875" defaultRowHeight="12.75" x14ac:dyDescent="0.35"/>
  <cols>
    <col min="1" max="1" width="19.796875" style="4" bestFit="1" customWidth="1"/>
    <col min="2" max="16384" width="9.19921875" style="4"/>
  </cols>
  <sheetData>
    <row r="1" spans="1:5" ht="13.15" x14ac:dyDescent="0.4">
      <c r="A1" s="3" t="s">
        <v>17</v>
      </c>
    </row>
    <row r="2" spans="1:5" ht="13.15" x14ac:dyDescent="0.4">
      <c r="A2" s="3"/>
    </row>
    <row r="3" spans="1:5" ht="13.15" x14ac:dyDescent="0.4">
      <c r="A3" s="3" t="s">
        <v>18</v>
      </c>
      <c r="B3" s="4">
        <f>AVERAGE(A7:A17)</f>
        <v>750</v>
      </c>
    </row>
    <row r="4" spans="1:5" ht="13.15" x14ac:dyDescent="0.4">
      <c r="A4" s="3" t="s">
        <v>19</v>
      </c>
      <c r="B4" s="10">
        <f>_xlfn.STDEV.S(A7:A17)</f>
        <v>165.83123951777</v>
      </c>
    </row>
    <row r="5" spans="1:5" ht="13.15" x14ac:dyDescent="0.4">
      <c r="A5" s="3"/>
    </row>
    <row r="6" spans="1:5" ht="13.15" x14ac:dyDescent="0.4">
      <c r="A6" s="5" t="s">
        <v>20</v>
      </c>
      <c r="B6" s="5" t="s">
        <v>21</v>
      </c>
    </row>
    <row r="7" spans="1:5" x14ac:dyDescent="0.35">
      <c r="A7" s="6">
        <v>500</v>
      </c>
      <c r="B7" s="7"/>
    </row>
    <row r="8" spans="1:5" x14ac:dyDescent="0.35">
      <c r="A8" s="6">
        <v>550</v>
      </c>
      <c r="B8" s="7"/>
    </row>
    <row r="9" spans="1:5" x14ac:dyDescent="0.35">
      <c r="A9" s="6">
        <v>600</v>
      </c>
      <c r="B9" s="7"/>
      <c r="E9" s="4" t="s">
        <v>27</v>
      </c>
    </row>
    <row r="10" spans="1:5" x14ac:dyDescent="0.35">
      <c r="A10" s="6">
        <v>650</v>
      </c>
      <c r="B10" s="7"/>
    </row>
    <row r="11" spans="1:5" x14ac:dyDescent="0.35">
      <c r="A11" s="6">
        <v>700</v>
      </c>
      <c r="B11" s="7"/>
    </row>
    <row r="12" spans="1:5" x14ac:dyDescent="0.35">
      <c r="A12" s="6">
        <v>750</v>
      </c>
      <c r="B12" s="7"/>
    </row>
    <row r="13" spans="1:5" x14ac:dyDescent="0.35">
      <c r="A13" s="6">
        <v>800</v>
      </c>
      <c r="B13" s="7"/>
    </row>
    <row r="14" spans="1:5" x14ac:dyDescent="0.35">
      <c r="A14" s="6">
        <v>850</v>
      </c>
      <c r="B14" s="7"/>
    </row>
    <row r="15" spans="1:5" x14ac:dyDescent="0.35">
      <c r="A15" s="6">
        <v>900</v>
      </c>
      <c r="B15" s="7"/>
    </row>
    <row r="16" spans="1:5" x14ac:dyDescent="0.35">
      <c r="A16" s="6">
        <v>950</v>
      </c>
      <c r="B16" s="7"/>
    </row>
    <row r="17" spans="1:2" x14ac:dyDescent="0.35">
      <c r="A17" s="6">
        <v>1000</v>
      </c>
      <c r="B1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 Value</vt:lpstr>
      <vt:lpstr>Binomial </vt:lpstr>
      <vt:lpstr>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</dc:creator>
  <cp:lastModifiedBy>Dr.  Puneet Kumar</cp:lastModifiedBy>
  <dcterms:created xsi:type="dcterms:W3CDTF">2021-06-18T20:48:44Z</dcterms:created>
  <dcterms:modified xsi:type="dcterms:W3CDTF">2026-09-14T05:45:37Z</dcterms:modified>
</cp:coreProperties>
</file>