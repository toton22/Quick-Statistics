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unee\Downloads\Downloads\PGDBM Course Study\DBS, Dehradun\MBA\Business Statistics\Module 3\"/>
    </mc:Choice>
  </mc:AlternateContent>
  <xr:revisionPtr revIDLastSave="0" documentId="8_{FA9EF4E2-E74C-4617-8AA8-F21C17AC9661}" xr6:coauthVersionLast="47" xr6:coauthVersionMax="47" xr10:uidLastSave="{00000000-0000-0000-0000-000000000000}"/>
  <bookViews>
    <workbookView xWindow="-98" yWindow="-98" windowWidth="19396" windowHeight="11475" xr2:uid="{C9343EF0-C2C3-44DA-B8F6-25FF6ED6B11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I13" i="1" l="1"/>
  <c r="I11" i="1"/>
  <c r="F11" i="1"/>
  <c r="D14" i="1"/>
  <c r="C14" i="1"/>
  <c r="C12" i="1"/>
  <c r="D12" i="1"/>
  <c r="C13" i="1"/>
  <c r="D13" i="1"/>
  <c r="D11" i="1"/>
  <c r="C11" i="1"/>
</calcChain>
</file>

<file path=xl/sharedStrings.xml><?xml version="1.0" encoding="utf-8"?>
<sst xmlns="http://schemas.openxmlformats.org/spreadsheetml/2006/main" count="19" uniqueCount="10">
  <si>
    <t>Age group</t>
  </si>
  <si>
    <t>Yes</t>
  </si>
  <si>
    <t>No</t>
  </si>
  <si>
    <t>Total</t>
  </si>
  <si>
    <t>Under 30</t>
  </si>
  <si>
    <t>30–49</t>
  </si>
  <si>
    <t>50 &amp; above</t>
  </si>
  <si>
    <t>OBSERVED</t>
  </si>
  <si>
    <t>EXPECTED</t>
  </si>
  <si>
    <t>χ2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</si>
</sst>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77" formatCode="0.0000000000"/>
  </numFmts>
  <fonts count="8" x14ac:knownFonts="1">
    <font>
      <sz val="11"/>
      <color theme="1"/>
      <name val="Aptos Narrow"/>
      <family val="2"/>
      <scheme val="minor"/>
    </font>
    <font>
      <b/>
      <sz val="16"/>
      <color rgb="FFFFFFFF"/>
      <name val="Calibri"/>
      <family val="2"/>
    </font>
    <font>
      <b/>
      <sz val="16"/>
      <color rgb="FF1E2A2D"/>
      <name val="Calibri"/>
      <family val="2"/>
    </font>
    <font>
      <sz val="16"/>
      <color rgb="FF1E2A2D"/>
      <name val="Calibri"/>
      <family val="2"/>
    </font>
    <font>
      <b/>
      <sz val="14"/>
      <color theme="1"/>
      <name val="Aptos Narrow"/>
      <family val="2"/>
      <scheme val="minor"/>
    </font>
    <font>
      <sz val="16"/>
      <color theme="1"/>
      <name val="Aptos Narrow"/>
      <family val="2"/>
    </font>
    <font>
      <sz val="16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02A2E"/>
        <bgColor indexed="64"/>
      </patternFill>
    </fill>
    <fill>
      <patternFill patternType="solid">
        <fgColor rgb="FFE8F1F0"/>
        <bgColor indexed="64"/>
      </patternFill>
    </fill>
  </fills>
  <borders count="2">
    <border>
      <left/>
      <right/>
      <top/>
      <bottom/>
      <diagonal/>
    </border>
    <border>
      <left style="thin">
        <color rgb="FFD5E4E2"/>
      </left>
      <right style="thin">
        <color rgb="FFD5E4E2"/>
      </right>
      <top style="thin">
        <color rgb="FFD5E4E2"/>
      </top>
      <bottom style="thin">
        <color rgb="FFD5E4E2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left" vertical="center" wrapText="1" indent="1" readingOrder="1"/>
    </xf>
    <xf numFmtId="0" fontId="1" fillId="2" borderId="1" xfId="0" applyFont="1" applyFill="1" applyBorder="1" applyAlignment="1">
      <alignment horizontal="center" vertical="center" wrapText="1" readingOrder="1"/>
    </xf>
    <xf numFmtId="0" fontId="2" fillId="0" borderId="1" xfId="0" applyFont="1" applyBorder="1" applyAlignment="1">
      <alignment horizontal="left" vertical="center" wrapText="1" indent="1" readingOrder="1"/>
    </xf>
    <xf numFmtId="0" fontId="3" fillId="0" borderId="1" xfId="0" applyFont="1" applyBorder="1" applyAlignment="1">
      <alignment horizontal="center" vertical="center" wrapText="1" readingOrder="1"/>
    </xf>
    <xf numFmtId="0" fontId="2" fillId="0" borderId="1" xfId="0" applyFont="1" applyBorder="1" applyAlignment="1">
      <alignment horizontal="center" vertical="center" wrapText="1" readingOrder="1"/>
    </xf>
    <xf numFmtId="0" fontId="2" fillId="3" borderId="1" xfId="0" applyFont="1" applyFill="1" applyBorder="1" applyAlignment="1">
      <alignment horizontal="left" vertical="center" wrapText="1" indent="1" readingOrder="1"/>
    </xf>
    <xf numFmtId="0" fontId="2" fillId="3" borderId="1" xfId="0" applyFont="1" applyFill="1" applyBorder="1" applyAlignment="1">
      <alignment horizontal="center" vertical="center" wrapText="1" readingOrder="1"/>
    </xf>
    <xf numFmtId="3" fontId="2" fillId="3" borderId="1" xfId="0" applyNumberFormat="1" applyFont="1" applyFill="1" applyBorder="1" applyAlignment="1">
      <alignment horizontal="center" vertical="center" wrapText="1" readingOrder="1"/>
    </xf>
    <xf numFmtId="0" fontId="4" fillId="0" borderId="0" xfId="0" applyFont="1" applyAlignment="1">
      <alignment horizontal="center"/>
    </xf>
    <xf numFmtId="0" fontId="5" fillId="0" borderId="0" xfId="0" applyFont="1"/>
    <xf numFmtId="2" fontId="6" fillId="0" borderId="0" xfId="0" applyNumberFormat="1" applyFont="1"/>
    <xf numFmtId="2" fontId="0" fillId="0" borderId="0" xfId="0" applyNumberFormat="1"/>
    <xf numFmtId="2" fontId="7" fillId="0" borderId="0" xfId="0" applyNumberFormat="1" applyFont="1"/>
    <xf numFmtId="177" fontId="0" fillId="0" borderId="0" xfId="0" applyNumberFormat="1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1AE8BB82-EA08-4302-8E3D-D693BF998A35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A753DB-9819-4844-97E9-E9ACE049985D}">
  <dimension ref="B1:K14"/>
  <sheetViews>
    <sheetView tabSelected="1" topLeftCell="A3" workbookViewId="0">
      <selection activeCell="I13" sqref="I13"/>
    </sheetView>
  </sheetViews>
  <sheetFormatPr defaultRowHeight="14.25" x14ac:dyDescent="0.45"/>
  <cols>
    <col min="2" max="2" width="14.796875" customWidth="1"/>
    <col min="4" max="4" width="17.33203125" customWidth="1"/>
    <col min="5" max="5" width="13.796875" customWidth="1"/>
    <col min="8" max="8" width="17.53125" customWidth="1"/>
    <col min="9" max="9" width="12.6640625" customWidth="1"/>
    <col min="10" max="10" width="13.19921875" customWidth="1"/>
    <col min="11" max="11" width="14.6640625" customWidth="1"/>
  </cols>
  <sheetData>
    <row r="1" spans="2:11" ht="18" x14ac:dyDescent="0.55000000000000004">
      <c r="B1" s="9" t="s">
        <v>7</v>
      </c>
      <c r="C1" s="9"/>
      <c r="D1" s="9"/>
      <c r="E1" s="9"/>
      <c r="H1" s="9" t="s">
        <v>8</v>
      </c>
      <c r="I1" s="9"/>
      <c r="J1" s="9"/>
      <c r="K1" s="9"/>
    </row>
    <row r="3" spans="2:11" ht="42" x14ac:dyDescent="0.45">
      <c r="B3" s="1" t="s">
        <v>0</v>
      </c>
      <c r="C3" s="2" t="s">
        <v>1</v>
      </c>
      <c r="D3" s="2" t="s">
        <v>2</v>
      </c>
      <c r="E3" s="2" t="s">
        <v>3</v>
      </c>
      <c r="H3" s="1" t="s">
        <v>0</v>
      </c>
      <c r="I3" s="2" t="s">
        <v>1</v>
      </c>
      <c r="J3" s="2" t="s">
        <v>2</v>
      </c>
      <c r="K3" s="2" t="s">
        <v>3</v>
      </c>
    </row>
    <row r="4" spans="2:11" ht="42" x14ac:dyDescent="0.45">
      <c r="B4" s="3" t="s">
        <v>4</v>
      </c>
      <c r="C4" s="4">
        <v>312</v>
      </c>
      <c r="D4" s="4">
        <v>178</v>
      </c>
      <c r="E4" s="5">
        <v>490</v>
      </c>
      <c r="H4" s="3" t="s">
        <v>4</v>
      </c>
      <c r="I4" s="4">
        <v>275.27999999999997</v>
      </c>
      <c r="J4" s="4">
        <v>214.72</v>
      </c>
      <c r="K4" s="5">
        <v>490</v>
      </c>
    </row>
    <row r="5" spans="2:11" ht="42" x14ac:dyDescent="0.45">
      <c r="B5" s="3" t="s">
        <v>5</v>
      </c>
      <c r="C5" s="4">
        <v>273</v>
      </c>
      <c r="D5" s="4">
        <v>183</v>
      </c>
      <c r="E5" s="5">
        <v>456</v>
      </c>
      <c r="H5" s="3" t="s">
        <v>5</v>
      </c>
      <c r="I5" s="4">
        <v>256.18</v>
      </c>
      <c r="J5" s="4">
        <v>199.82</v>
      </c>
      <c r="K5" s="5">
        <v>456</v>
      </c>
    </row>
    <row r="6" spans="2:11" ht="63" x14ac:dyDescent="0.45">
      <c r="B6" s="3" t="s">
        <v>6</v>
      </c>
      <c r="C6" s="4">
        <v>224</v>
      </c>
      <c r="D6" s="4">
        <v>270</v>
      </c>
      <c r="E6" s="5">
        <v>494</v>
      </c>
      <c r="H6" s="3" t="s">
        <v>6</v>
      </c>
      <c r="I6" s="4">
        <v>277.52999999999997</v>
      </c>
      <c r="J6" s="4">
        <v>216.47</v>
      </c>
      <c r="K6" s="5">
        <v>494</v>
      </c>
    </row>
    <row r="7" spans="2:11" ht="21" x14ac:dyDescent="0.45">
      <c r="B7" s="6" t="s">
        <v>3</v>
      </c>
      <c r="C7" s="7">
        <v>809</v>
      </c>
      <c r="D7" s="7">
        <v>631</v>
      </c>
      <c r="E7" s="8">
        <v>1440</v>
      </c>
      <c r="H7" s="6" t="s">
        <v>3</v>
      </c>
      <c r="I7" s="7">
        <v>809</v>
      </c>
      <c r="J7" s="7">
        <v>631</v>
      </c>
      <c r="K7" s="8">
        <v>1440</v>
      </c>
    </row>
    <row r="11" spans="2:11" ht="21" x14ac:dyDescent="0.65">
      <c r="B11" s="10" t="s">
        <v>9</v>
      </c>
      <c r="C11" s="11">
        <f xml:space="preserve"> (C4-I4)^2/I4</f>
        <v>4.8981342632955611</v>
      </c>
      <c r="D11" s="11">
        <f xml:space="preserve"> (D4-J4)^2/J4</f>
        <v>6.2796125186289116</v>
      </c>
      <c r="F11" s="13">
        <f>C14+D14</f>
        <v>37.260021600219964</v>
      </c>
      <c r="I11">
        <f>_xlfn.CHISQ.INV.RT(0.05,2)</f>
        <v>5.9914645471079817</v>
      </c>
    </row>
    <row r="12" spans="2:11" ht="21" x14ac:dyDescent="0.65">
      <c r="C12" s="11">
        <f t="shared" ref="C12:D12" si="0" xml:space="preserve"> (C5-I5)^2/I5</f>
        <v>1.10435006635959</v>
      </c>
      <c r="D12" s="11">
        <f t="shared" si="0"/>
        <v>1.4158362526273636</v>
      </c>
    </row>
    <row r="13" spans="2:11" ht="21" x14ac:dyDescent="0.65">
      <c r="C13" s="11">
        <f t="shared" ref="C13:D13" si="1" xml:space="preserve"> (C6-I6)^2/I6</f>
        <v>10.324869023168656</v>
      </c>
      <c r="D13" s="11">
        <f t="shared" si="1"/>
        <v>13.237219476139881</v>
      </c>
      <c r="I13" s="14">
        <f>_xlfn.CHISQ.DIST.RT(37.26,2)</f>
        <v>8.1113623415350715E-9</v>
      </c>
    </row>
    <row r="14" spans="2:11" x14ac:dyDescent="0.45">
      <c r="C14" s="12">
        <f>SUM(C11:C13)</f>
        <v>16.327353352823806</v>
      </c>
      <c r="D14" s="12">
        <f>SUM(D11:D13)</f>
        <v>20.932668247396158</v>
      </c>
    </row>
  </sheetData>
  <mergeCells count="2">
    <mergeCell ref="B1:E1"/>
    <mergeCell ref="H1:K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Dr.  Puneet Kumar</dc:creator>
  <cp:lastModifiedBy>Dr.  Puneet Kumar</cp:lastModifiedBy>
  <dcterms:created xsi:type="dcterms:W3CDTF">2026-10-06T05:02:36Z</dcterms:created>
  <dcterms:modified xsi:type="dcterms:W3CDTF">2026-10-06T05:44:29Z</dcterms:modified>
</cp:coreProperties>
</file>